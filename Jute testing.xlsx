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6"/>
  </bookViews>
  <sheets>
    <sheet name="ltp" sheetId="1" r:id="rId1"/>
    <sheet name="ff" sheetId="2" r:id="rId2"/>
    <sheet name="total_share" sheetId="3" r:id="rId3"/>
    <sheet name="raw_mcap" sheetId="4" r:id="rId4"/>
    <sheet name="ff_mcap" sheetId="5" r:id="rId5"/>
    <sheet name="mcap_weight" sheetId="6" r:id="rId6"/>
    <sheet name="retur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7" l="1"/>
  <c r="X4" i="7"/>
  <c r="R3" i="7"/>
  <c r="S3" i="7"/>
  <c r="Q3" i="7"/>
  <c r="S4" i="7"/>
  <c r="R4" i="7"/>
  <c r="Q4" i="7"/>
  <c r="L4" i="7"/>
  <c r="K4" i="7"/>
  <c r="K3" i="7"/>
  <c r="L3" i="7"/>
  <c r="J4" i="7"/>
  <c r="J3" i="7"/>
  <c r="C4" i="7"/>
  <c r="D4" i="7"/>
  <c r="B4" i="7"/>
  <c r="C3" i="6"/>
  <c r="D3" i="6"/>
  <c r="D2" i="6"/>
  <c r="C2" i="6"/>
  <c r="B3" i="6"/>
  <c r="B2" i="6"/>
  <c r="B3" i="5"/>
  <c r="C3" i="5"/>
  <c r="D3" i="5"/>
  <c r="C2" i="5"/>
  <c r="D2" i="5"/>
  <c r="B2" i="5"/>
  <c r="B3" i="4"/>
  <c r="C3" i="4"/>
  <c r="D3" i="4"/>
  <c r="C2" i="4"/>
  <c r="D2" i="4"/>
  <c r="B2" i="4"/>
</calcChain>
</file>

<file path=xl/sharedStrings.xml><?xml version="1.0" encoding="utf-8"?>
<sst xmlns="http://schemas.openxmlformats.org/spreadsheetml/2006/main" count="44" uniqueCount="11">
  <si>
    <t>Date</t>
  </si>
  <si>
    <t>2025-05-27 closing PRICE</t>
  </si>
  <si>
    <t>JUTESPINN</t>
  </si>
  <si>
    <t>SONALIANSH</t>
  </si>
  <si>
    <t>NORTHERN</t>
  </si>
  <si>
    <t>Price Return</t>
  </si>
  <si>
    <t>Weights</t>
  </si>
  <si>
    <t>Weighted Return</t>
  </si>
  <si>
    <t xml:space="preserve">Index </t>
  </si>
  <si>
    <t>Index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</si>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</sst>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000000000000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2" fontId="1" fillId="0" borderId="0" xfId="0" applyNumberFormat="1" applyFont="1"/>
    <xf numFmtId="2" fontId="0" fillId="0" borderId="0" xfId="0" applyNumberFormat="1"/>
    <xf numFmtId="10" fontId="1" fillId="0" borderId="0" xfId="0" applyNumberFormat="1" applyFont="1"/>
    <xf numFmtId="10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1" fillId="0" borderId="0" xfId="0" applyNumberFormat="1" applyFont="1"/>
    <xf numFmtId="0" fontId="0" fillId="0" borderId="0" xfId="0" applyNumberFormat="1"/>
    <xf numFmtId="0" fontId="1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70" fontId="0" fillId="0" borderId="0" xfId="0" applyNumberFormat="1"/>
    <xf numFmtId="0" fontId="1" fillId="4" borderId="1" xfId="0" applyFont="1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sqref="A1:D3"/>
    </sheetView>
  </sheetViews>
  <sheetFormatPr defaultRowHeight="15" x14ac:dyDescent="0.25"/>
  <cols>
    <col min="1" max="1" width="9.7109375" bestFit="1" customWidth="1"/>
    <col min="2" max="2" width="14.5703125" customWidth="1"/>
  </cols>
  <sheetData>
    <row r="1" spans="1:8" x14ac:dyDescent="0.25">
      <c r="A1" s="1" t="s">
        <v>0</v>
      </c>
      <c r="B1" s="1" t="s">
        <v>2</v>
      </c>
      <c r="C1" s="1" t="s">
        <v>4</v>
      </c>
      <c r="D1" s="1" t="s">
        <v>3</v>
      </c>
    </row>
    <row r="2" spans="1:8" x14ac:dyDescent="0.25">
      <c r="A2" s="2">
        <v>45804</v>
      </c>
      <c r="B2">
        <v>192.9</v>
      </c>
      <c r="C2">
        <v>90.3</v>
      </c>
      <c r="D2">
        <v>144.1</v>
      </c>
      <c r="F2" s="3" t="s">
        <v>1</v>
      </c>
      <c r="G2" s="3"/>
      <c r="H2" s="3"/>
    </row>
    <row r="3" spans="1:8" x14ac:dyDescent="0.25">
      <c r="A3" s="2">
        <v>45805</v>
      </c>
      <c r="B3">
        <v>202.8</v>
      </c>
      <c r="C3">
        <v>85.5</v>
      </c>
      <c r="D3">
        <v>138.80000000000001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3" sqref="D3"/>
    </sheetView>
  </sheetViews>
  <sheetFormatPr defaultRowHeight="15" x14ac:dyDescent="0.25"/>
  <cols>
    <col min="1" max="1" width="9.7109375" bestFit="1" customWidth="1"/>
    <col min="2" max="3" width="11.5703125" style="5" customWidth="1"/>
    <col min="4" max="4" width="7.85546875" bestFit="1" customWidth="1"/>
  </cols>
  <sheetData>
    <row r="1" spans="1:4" x14ac:dyDescent="0.25">
      <c r="A1" s="1" t="s">
        <v>0</v>
      </c>
      <c r="B1" s="4" t="s">
        <v>2</v>
      </c>
      <c r="C1" s="4" t="s">
        <v>4</v>
      </c>
      <c r="D1" s="1" t="s">
        <v>3</v>
      </c>
    </row>
    <row r="2" spans="1:4" x14ac:dyDescent="0.25">
      <c r="A2" s="2">
        <v>45804</v>
      </c>
      <c r="B2" s="5">
        <v>60.18</v>
      </c>
      <c r="C2" s="5">
        <v>84.91</v>
      </c>
      <c r="D2">
        <v>68.98</v>
      </c>
    </row>
    <row r="3" spans="1:4" x14ac:dyDescent="0.25">
      <c r="A3" s="2">
        <v>45805</v>
      </c>
      <c r="B3" s="5">
        <v>60.18</v>
      </c>
      <c r="C3" s="5">
        <v>84.91</v>
      </c>
      <c r="D3">
        <v>68.98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10.85546875" bestFit="1" customWidth="1"/>
    <col min="4" max="4" width="12.5703125" bestFit="1" customWidth="1"/>
  </cols>
  <sheetData>
    <row r="1" spans="1:4" x14ac:dyDescent="0.25">
      <c r="A1" s="1" t="s">
        <v>0</v>
      </c>
      <c r="B1" s="1" t="s">
        <v>2</v>
      </c>
      <c r="C1" s="1" t="s">
        <v>4</v>
      </c>
      <c r="D1" s="1" t="s">
        <v>3</v>
      </c>
    </row>
    <row r="2" spans="1:4" x14ac:dyDescent="0.25">
      <c r="A2" s="2">
        <v>45804</v>
      </c>
      <c r="B2">
        <v>1700000</v>
      </c>
      <c r="C2">
        <v>2142000</v>
      </c>
      <c r="D2">
        <v>10848000</v>
      </c>
    </row>
    <row r="3" spans="1:4" x14ac:dyDescent="0.25">
      <c r="A3" s="2">
        <v>45805</v>
      </c>
      <c r="B3">
        <v>1700000</v>
      </c>
      <c r="C3">
        <v>2142000</v>
      </c>
      <c r="D3">
        <v>10848000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cols>
    <col min="1" max="1" width="9.7109375" bestFit="1" customWidth="1"/>
    <col min="2" max="2" width="10" bestFit="1" customWidth="1"/>
    <col min="3" max="3" width="13.140625" customWidth="1"/>
    <col min="4" max="4" width="12.85546875" customWidth="1"/>
  </cols>
  <sheetData>
    <row r="1" spans="1:4" x14ac:dyDescent="0.25">
      <c r="A1" s="1" t="s">
        <v>0</v>
      </c>
      <c r="B1" s="1" t="s">
        <v>2</v>
      </c>
      <c r="C1" s="1" t="s">
        <v>4</v>
      </c>
      <c r="D1" s="1" t="s">
        <v>3</v>
      </c>
    </row>
    <row r="2" spans="1:4" x14ac:dyDescent="0.25">
      <c r="A2" s="2">
        <v>45804</v>
      </c>
      <c r="B2">
        <f>ltp!B2*total_share!B2</f>
        <v>327930000</v>
      </c>
      <c r="C2">
        <f>ltp!C2*total_share!C2</f>
        <v>193422600</v>
      </c>
      <c r="D2">
        <f>ltp!D2*total_share!D2</f>
        <v>1563196800</v>
      </c>
    </row>
    <row r="3" spans="1:4" x14ac:dyDescent="0.25">
      <c r="A3" s="2">
        <v>45805</v>
      </c>
      <c r="B3">
        <f>ltp!B3*total_share!B3</f>
        <v>344760000</v>
      </c>
      <c r="C3">
        <f>ltp!C3*total_share!C3</f>
        <v>183141000</v>
      </c>
      <c r="D3">
        <f>ltp!D3*total_share!D3</f>
        <v>1505702400.0000002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10.85546875" bestFit="1" customWidth="1"/>
    <col min="4" max="4" width="12.5703125" bestFit="1" customWidth="1"/>
  </cols>
  <sheetData>
    <row r="1" spans="1:4" x14ac:dyDescent="0.25">
      <c r="A1" s="1" t="s">
        <v>0</v>
      </c>
      <c r="B1" s="1" t="s">
        <v>2</v>
      </c>
      <c r="C1" s="1" t="s">
        <v>4</v>
      </c>
      <c r="D1" s="1" t="s">
        <v>3</v>
      </c>
    </row>
    <row r="2" spans="1:4" x14ac:dyDescent="0.25">
      <c r="A2" s="2">
        <v>45804</v>
      </c>
      <c r="B2">
        <f>ltp!B2*total_share!B2*ff!B2/100</f>
        <v>197348274</v>
      </c>
      <c r="C2">
        <f>ltp!C2*total_share!C2*ff!C2/100</f>
        <v>164235129.66</v>
      </c>
      <c r="D2">
        <f>ltp!D2*total_share!D2*ff!D2/100</f>
        <v>1078293152.6400001</v>
      </c>
    </row>
    <row r="3" spans="1:4" x14ac:dyDescent="0.25">
      <c r="A3" s="2">
        <v>45805</v>
      </c>
      <c r="B3">
        <f>ltp!B3*total_share!B3*ff!B3/100</f>
        <v>207476568</v>
      </c>
      <c r="C3">
        <f>ltp!C3*total_share!C3*ff!C3/100</f>
        <v>155505023.09999999</v>
      </c>
      <c r="D3">
        <f>ltp!D3*total_share!D3*ff!D3/100</f>
        <v>1038633515.5200001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cols>
    <col min="1" max="1" width="9.7109375" bestFit="1" customWidth="1"/>
    <col min="2" max="2" width="16.28515625" style="7" bestFit="1" customWidth="1"/>
    <col min="3" max="3" width="12" bestFit="1" customWidth="1"/>
    <col min="4" max="4" width="12.5703125" bestFit="1" customWidth="1"/>
  </cols>
  <sheetData>
    <row r="1" spans="1:4" x14ac:dyDescent="0.25">
      <c r="A1" s="1" t="s">
        <v>0</v>
      </c>
      <c r="B1" s="6" t="s">
        <v>2</v>
      </c>
      <c r="C1" s="1" t="s">
        <v>4</v>
      </c>
      <c r="D1" s="1" t="s">
        <v>3</v>
      </c>
    </row>
    <row r="2" spans="1:4" x14ac:dyDescent="0.25">
      <c r="A2" s="2">
        <v>45804</v>
      </c>
      <c r="B2" s="7">
        <f>(ff_mcap!B2)/(ff_mcap!B2+ff_mcap!C2+ff_mcap!D2)</f>
        <v>0.13705916186809713</v>
      </c>
      <c r="C2" s="7">
        <f>(ff_mcap!C2)/(ff_mcap!B2+ff_mcap!C2+ff_mcap!D2)</f>
        <v>0.1140619513120133</v>
      </c>
      <c r="D2" s="7">
        <f>(ff_mcap!D2)/(ff_mcap!B2+ff_mcap!C2+ff_mcap!D2)</f>
        <v>0.74887888681988946</v>
      </c>
    </row>
    <row r="3" spans="1:4" x14ac:dyDescent="0.25">
      <c r="A3" s="2">
        <v>45805</v>
      </c>
      <c r="B3" s="7">
        <f>(ff_mcap!B3)/(ff_mcap!B3+ff_mcap!C3+ff_mcap!D3)</f>
        <v>0.14802677783655635</v>
      </c>
      <c r="C3" s="7">
        <f>(ff_mcap!C3)/(ff_mcap!B3+ff_mcap!C3+ff_mcap!D3)</f>
        <v>0.11094702273507948</v>
      </c>
      <c r="D3" s="7">
        <f>(ff_mcap!D3)/(ff_mcap!B3+ff_mcap!C3+ff_mcap!D3)</f>
        <v>0.74102619942836412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B1" workbookViewId="0">
      <selection activeCell="W4" sqref="W4"/>
    </sheetView>
  </sheetViews>
  <sheetFormatPr defaultRowHeight="15" x14ac:dyDescent="0.25"/>
  <cols>
    <col min="1" max="1" width="11.5703125" customWidth="1"/>
    <col min="2" max="2" width="9.140625" style="11"/>
    <col min="3" max="4" width="9.140625" style="9"/>
    <col min="9" max="9" width="13.42578125" customWidth="1"/>
    <col min="16" max="16" width="13.7109375" customWidth="1"/>
    <col min="17" max="17" width="20.42578125" bestFit="1" customWidth="1"/>
    <col min="18" max="19" width="21.140625" bestFit="1" customWidth="1"/>
    <col min="22" max="22" width="9.7109375" bestFit="1" customWidth="1"/>
    <col min="24" max="24" width="21.140625" bestFit="1" customWidth="1"/>
  </cols>
  <sheetData>
    <row r="1" spans="1:24" x14ac:dyDescent="0.25">
      <c r="A1" s="12" t="s">
        <v>5</v>
      </c>
      <c r="B1" s="12"/>
      <c r="C1" s="12"/>
      <c r="D1" s="12"/>
      <c r="I1" s="12" t="s">
        <v>6</v>
      </c>
      <c r="J1" s="12"/>
      <c r="K1" s="12"/>
      <c r="L1" s="12"/>
      <c r="P1" s="13" t="s">
        <v>7</v>
      </c>
      <c r="Q1" s="13"/>
      <c r="R1" s="13"/>
      <c r="S1" s="13"/>
      <c r="V1" s="16" t="s">
        <v>8</v>
      </c>
      <c r="W1" s="16"/>
      <c r="X1" s="16"/>
    </row>
    <row r="2" spans="1:24" x14ac:dyDescent="0.25">
      <c r="A2" s="1" t="s">
        <v>0</v>
      </c>
      <c r="B2" s="10" t="s">
        <v>2</v>
      </c>
      <c r="C2" s="8" t="s">
        <v>4</v>
      </c>
      <c r="D2" s="8" t="s">
        <v>3</v>
      </c>
      <c r="I2" s="1" t="s">
        <v>0</v>
      </c>
      <c r="J2" s="10" t="s">
        <v>2</v>
      </c>
      <c r="K2" s="8" t="s">
        <v>4</v>
      </c>
      <c r="L2" s="8" t="s">
        <v>3</v>
      </c>
      <c r="P2" s="1" t="s">
        <v>0</v>
      </c>
      <c r="Q2" s="10" t="s">
        <v>2</v>
      </c>
      <c r="R2" s="8" t="s">
        <v>4</v>
      </c>
      <c r="S2" s="8" t="s">
        <v>3</v>
      </c>
      <c r="V2" s="15" t="s">
        <v>0</v>
      </c>
      <c r="W2" s="15" t="s">
        <v>9</v>
      </c>
      <c r="X2" s="15" t="s">
        <v>10</v>
      </c>
    </row>
    <row r="3" spans="1:24" x14ac:dyDescent="0.25">
      <c r="A3" s="2">
        <v>45804</v>
      </c>
      <c r="B3" s="7">
        <v>0</v>
      </c>
      <c r="C3" s="7">
        <v>0</v>
      </c>
      <c r="D3" s="7">
        <v>0</v>
      </c>
      <c r="I3" s="2">
        <v>45804</v>
      </c>
      <c r="J3" s="7">
        <f>mcap_weight!B2</f>
        <v>0.13705916186809713</v>
      </c>
      <c r="K3" s="7">
        <f>mcap_weight!C2</f>
        <v>0.1140619513120133</v>
      </c>
      <c r="L3" s="7">
        <f>mcap_weight!D2</f>
        <v>0.74887888681988946</v>
      </c>
      <c r="P3" s="2">
        <v>45804</v>
      </c>
      <c r="Q3" s="7">
        <f>J3*B3</f>
        <v>0</v>
      </c>
      <c r="R3" s="7">
        <f t="shared" ref="R3:S3" si="0">K3*C3</f>
        <v>0</v>
      </c>
      <c r="S3" s="7">
        <f t="shared" si="0"/>
        <v>0</v>
      </c>
      <c r="V3" s="2">
        <v>45804</v>
      </c>
      <c r="W3">
        <v>100</v>
      </c>
      <c r="X3">
        <v>0</v>
      </c>
    </row>
    <row r="4" spans="1:24" x14ac:dyDescent="0.25">
      <c r="A4" s="2">
        <v>45805</v>
      </c>
      <c r="B4" s="7">
        <f>(ff_mcap!B3/ff_mcap!B2)-1</f>
        <v>5.1321928460342114E-2</v>
      </c>
      <c r="C4" s="7">
        <f>(ff_mcap!C3/ff_mcap!C2)-1</f>
        <v>-5.3156146179402008E-2</v>
      </c>
      <c r="D4" s="7">
        <f>(ff_mcap!D3/ff_mcap!D2)-1</f>
        <v>-3.6780013879250562E-2</v>
      </c>
      <c r="I4" s="2">
        <v>45805</v>
      </c>
      <c r="J4" s="7">
        <f>mcap_weight!B3</f>
        <v>0.14802677783655635</v>
      </c>
      <c r="K4" s="7">
        <f>mcap_weight!C3</f>
        <v>0.11094702273507948</v>
      </c>
      <c r="L4" s="7">
        <f>mcap_weight!D3</f>
        <v>0.74102619942836412</v>
      </c>
      <c r="P4" s="2">
        <v>45805</v>
      </c>
      <c r="Q4" s="14">
        <f>J4*B4</f>
        <v>7.5970197023427005E-3</v>
      </c>
      <c r="R4" s="14">
        <f t="shared" ref="R4:S4" si="1">K4*C4</f>
        <v>-5.8975161586753222E-3</v>
      </c>
      <c r="S4" s="14">
        <f>L4*D4</f>
        <v>-2.7254953899863526E-2</v>
      </c>
      <c r="V4" s="2">
        <v>45805</v>
      </c>
      <c r="W4" s="5">
        <f>W3*(1+X4)</f>
        <v>97.444454964380384</v>
      </c>
      <c r="X4" s="14">
        <f>SUM(Q4:S4)</f>
        <v>-2.5555450356196149E-2</v>
      </c>
    </row>
  </sheetData>
  <mergeCells count="4">
    <mergeCell ref="A1:D1"/>
    <mergeCell ref="I1:L1"/>
    <mergeCell ref="P1:S1"/>
    <mergeCell ref="V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ltp</vt:lpstr>
      <vt:lpstr>ff</vt:lpstr>
      <vt:lpstr>total_share</vt:lpstr>
      <vt:lpstr>raw_mcap</vt:lpstr>
      <vt:lpstr>ff_mcap</vt:lpstr>
      <vt:lpstr>mcap_weight</vt:lpstr>
      <vt:lpstr>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2025-05-29T06:53:29Z</dcterms:modified>
</cp:coreProperties>
</file>